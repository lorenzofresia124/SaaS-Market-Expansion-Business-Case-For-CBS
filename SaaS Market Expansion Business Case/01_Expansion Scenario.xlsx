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\Desktop\PROGETTO 3\"/>
    </mc:Choice>
  </mc:AlternateContent>
  <xr:revisionPtr revIDLastSave="0" documentId="13_ncr:1_{F37CCBC0-0A48-4D26-BEDB-94570631F901}" xr6:coauthVersionLast="47" xr6:coauthVersionMax="47" xr10:uidLastSave="{00000000-0000-0000-0000-000000000000}"/>
  <bookViews>
    <workbookView minimized="1" xWindow="2604" yWindow="84" windowWidth="17280" windowHeight="8436" xr2:uid="{774DB4F6-268E-421F-A0FB-89A8A2AD2E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" i="1" l="1"/>
  <c r="G13" i="1"/>
  <c r="G12" i="1"/>
  <c r="G7" i="1"/>
  <c r="G6" i="1"/>
</calcChain>
</file>

<file path=xl/sharedStrings.xml><?xml version="1.0" encoding="utf-8"?>
<sst xmlns="http://schemas.openxmlformats.org/spreadsheetml/2006/main" count="23" uniqueCount="23">
  <si>
    <t>Scenario</t>
  </si>
  <si>
    <t>Users</t>
  </si>
  <si>
    <t>Price</t>
  </si>
  <si>
    <t>Annual Revenue</t>
  </si>
  <si>
    <t>North America (Expansion)</t>
  </si>
  <si>
    <t xml:space="preserve">Market  </t>
  </si>
  <si>
    <t>Potential Users</t>
  </si>
  <si>
    <t>Target Market Share</t>
  </si>
  <si>
    <t>Europe</t>
  </si>
  <si>
    <t>North America</t>
  </si>
  <si>
    <t>Europe (Current Market)</t>
  </si>
  <si>
    <t>KEY INSIGHTS</t>
  </si>
  <si>
    <t>Insight</t>
  </si>
  <si>
    <t>Value</t>
  </si>
  <si>
    <t>NA Market Size vs EU</t>
  </si>
  <si>
    <t>Expected Revenue Growth</t>
  </si>
  <si>
    <t>Expansion Opportunity</t>
  </si>
  <si>
    <t>1.91x Larger</t>
  </si>
  <si>
    <t>High</t>
  </si>
  <si>
    <t>MARKET EXPANSION REVENUE SCENARIOS</t>
  </si>
  <si>
    <t>MARKET OPPORTUNITY</t>
  </si>
  <si>
    <t>SaaS Market Expansion Analysis</t>
  </si>
  <si>
    <t>Expected Paying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</si>
</sst>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_-* #,##0_-;\-* #,##0_-;_-* &quot;-&quot;??_-;_-@_-"/>
    <numFmt numFmtId="166" formatCode="_-[$$-409]* #,##0.00_ ;_-[$$-409]* \-#,##0.00\ ;_-[$$-409]* &quot;-&quot;??_ ;_-@_ "/>
    <numFmt numFmtId="173" formatCode="_-[$$-409]* #,##0_ ;_-[$$-409]* \-#,##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0" xfId="0" applyAlignment="1">
      <alignment horizontal="center"/>
    </xf>
    <xf numFmtId="165" fontId="0" fillId="0" borderId="1" xfId="1" applyNumberFormat="1" applyFont="1" applyBorder="1"/>
    <xf numFmtId="9" fontId="0" fillId="0" borderId="1" xfId="2" applyFont="1" applyBorder="1"/>
    <xf numFmtId="165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166" fontId="0" fillId="0" borderId="1" xfId="0" applyNumberFormat="1" applyBorder="1"/>
    <xf numFmtId="166" fontId="0" fillId="0" borderId="1" xfId="1" applyNumberFormat="1" applyFont="1" applyBorder="1"/>
    <xf numFmtId="2" fontId="0" fillId="0" borderId="1" xfId="0" applyNumberFormat="1" applyBorder="1" applyAlignment="1">
      <alignment horizontal="center"/>
    </xf>
    <xf numFmtId="173" fontId="0" fillId="0" borderId="1" xfId="0" applyNumberForma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Annual</a:t>
            </a:r>
            <a:r>
              <a:rPr lang="en-GB" b="1" baseline="0"/>
              <a:t> Revenue Comparison by Market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12B-46D4-9E78-E2A3B80A71C8}"/>
              </c:ext>
            </c:extLst>
          </c:dPt>
          <c:cat>
            <c:strRef>
              <c:f>Sheet1!$D$6:$D$7</c:f>
              <c:strCache>
                <c:ptCount val="2"/>
                <c:pt idx="0">
                  <c:v>Europe (Current Market)</c:v>
                </c:pt>
                <c:pt idx="1">
                  <c:v>North America (Expansion)</c:v>
                </c:pt>
              </c:strCache>
            </c:strRef>
          </c:cat>
          <c:val>
            <c:numRef>
              <c:f>Sheet1!$G$6:$G$7</c:f>
              <c:numCache>
                <c:formatCode>_-[$$-409]* #,##0.00_ ;_-[$$-409]* \-#,##0.00\ ;_-[$$-409]* "-"??_ ;_-@_ </c:formatCode>
                <c:ptCount val="2"/>
                <c:pt idx="0">
                  <c:v>18000000</c:v>
                </c:pt>
                <c:pt idx="1">
                  <c:v>34440000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B-46D4-9E78-E2A3B80A7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1522528"/>
        <c:axId val="1765382224"/>
      </c:barChart>
      <c:catAx>
        <c:axId val="176152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Market</a:t>
                </a:r>
              </a:p>
            </c:rich>
          </c:tx>
          <c:layout>
            <c:manualLayout>
              <c:xMode val="edge"/>
              <c:yMode val="edge"/>
              <c:x val="0.55411001749781275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382224"/>
        <c:crosses val="autoZero"/>
        <c:auto val="1"/>
        <c:lblAlgn val="ctr"/>
        <c:lblOffset val="100"/>
        <c:noMultiLvlLbl val="0"/>
      </c:catAx>
      <c:valAx>
        <c:axId val="176538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Revenue</a:t>
                </a:r>
                <a:r>
                  <a:rPr lang="en-GB" b="1" baseline="0"/>
                  <a:t> (USD)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28302347623213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52252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2</xdr:row>
      <xdr:rowOff>179070</xdr:rowOff>
    </xdr:from>
    <xdr:to>
      <xdr:col>15</xdr:col>
      <xdr:colOff>312420</xdr:colOff>
      <xdr:row>17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20EC2-8F6E-454B-8F9A-6F1DF5FC6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EDC2-551C-4560-AFF0-59C665B5D1FD}">
  <dimension ref="D1:I19"/>
  <sheetViews>
    <sheetView showGridLines="0" tabSelected="1" workbookViewId="0">
      <selection activeCell="I2" sqref="I2"/>
    </sheetView>
  </sheetViews>
  <sheetFormatPr defaultRowHeight="14.4" x14ac:dyDescent="0.3"/>
  <cols>
    <col min="4" max="4" width="23" customWidth="1"/>
    <col min="5" max="5" width="13.88671875" customWidth="1"/>
    <col min="6" max="6" width="22.6640625" customWidth="1"/>
    <col min="7" max="7" width="24" customWidth="1"/>
    <col min="9" max="9" width="23.21875" customWidth="1"/>
    <col min="10" max="10" width="13.77734375" customWidth="1"/>
    <col min="11" max="11" width="14.109375" customWidth="1"/>
  </cols>
  <sheetData>
    <row r="1" spans="4:9" ht="21" x14ac:dyDescent="0.4">
      <c r="F1" s="15" t="s">
        <v>21</v>
      </c>
      <c r="G1" s="3"/>
      <c r="H1" s="3"/>
      <c r="I1" s="3"/>
    </row>
    <row r="4" spans="4:9" x14ac:dyDescent="0.3">
      <c r="D4" s="7" t="s">
        <v>19</v>
      </c>
      <c r="E4" s="7"/>
      <c r="F4" s="7"/>
      <c r="G4" s="7"/>
    </row>
    <row r="5" spans="4:9" x14ac:dyDescent="0.3">
      <c r="D5" s="2" t="s">
        <v>0</v>
      </c>
      <c r="E5" s="2" t="s">
        <v>1</v>
      </c>
      <c r="F5" s="2" t="s">
        <v>2</v>
      </c>
      <c r="G5" s="2" t="s">
        <v>3</v>
      </c>
    </row>
    <row r="6" spans="4:9" x14ac:dyDescent="0.3">
      <c r="D6" s="1" t="s">
        <v>10</v>
      </c>
      <c r="E6" s="1">
        <v>20000</v>
      </c>
      <c r="F6" s="8">
        <v>75</v>
      </c>
      <c r="G6" s="9">
        <f>(E6*F6*12)</f>
        <v>18000000</v>
      </c>
    </row>
    <row r="7" spans="4:9" x14ac:dyDescent="0.3">
      <c r="D7" s="1" t="s">
        <v>4</v>
      </c>
      <c r="E7" s="1">
        <v>35000</v>
      </c>
      <c r="F7" s="14">
        <v>82</v>
      </c>
      <c r="G7" s="9">
        <f>(E7*F7*12)</f>
        <v>34440000</v>
      </c>
    </row>
    <row r="10" spans="4:9" x14ac:dyDescent="0.3">
      <c r="D10" s="7" t="s">
        <v>20</v>
      </c>
      <c r="E10" s="7"/>
      <c r="F10" s="7"/>
      <c r="G10" s="7"/>
    </row>
    <row r="11" spans="4:9" x14ac:dyDescent="0.3">
      <c r="D11" s="2" t="s">
        <v>5</v>
      </c>
      <c r="E11" s="2" t="s">
        <v>6</v>
      </c>
      <c r="F11" s="2" t="s">
        <v>7</v>
      </c>
      <c r="G11" s="2" t="s">
        <v>22</v>
      </c>
    </row>
    <row r="12" spans="4:9" x14ac:dyDescent="0.3">
      <c r="D12" s="1" t="s">
        <v>8</v>
      </c>
      <c r="E12" s="4">
        <v>2000000</v>
      </c>
      <c r="F12" s="5">
        <v>0.01</v>
      </c>
      <c r="G12" s="6">
        <f>(E12*F12)</f>
        <v>20000</v>
      </c>
    </row>
    <row r="13" spans="4:9" x14ac:dyDescent="0.3">
      <c r="D13" s="1" t="s">
        <v>9</v>
      </c>
      <c r="E13" s="4">
        <v>3000000</v>
      </c>
      <c r="F13" s="5">
        <v>0.01</v>
      </c>
      <c r="G13" s="6">
        <f>(E13*F13)</f>
        <v>30000</v>
      </c>
    </row>
    <row r="15" spans="4:9" x14ac:dyDescent="0.3">
      <c r="F15" s="12" t="s">
        <v>11</v>
      </c>
      <c r="G15" s="13"/>
    </row>
    <row r="16" spans="4:9" x14ac:dyDescent="0.3">
      <c r="F16" s="2" t="s">
        <v>12</v>
      </c>
      <c r="G16" s="2" t="s">
        <v>13</v>
      </c>
    </row>
    <row r="17" spans="6:7" x14ac:dyDescent="0.3">
      <c r="F17" s="1" t="s">
        <v>14</v>
      </c>
      <c r="G17" s="10" t="s">
        <v>17</v>
      </c>
    </row>
    <row r="18" spans="6:7" x14ac:dyDescent="0.3">
      <c r="F18" s="1" t="s">
        <v>15</v>
      </c>
      <c r="G18" s="11">
        <f>(G7-G6)</f>
        <v>16440000</v>
      </c>
    </row>
    <row r="19" spans="6:7" x14ac:dyDescent="0.3">
      <c r="F19" s="1" t="s">
        <v>16</v>
      </c>
      <c r="G19" s="16" t="s">
        <v>18</v>
      </c>
    </row>
  </sheetData>
  <mergeCells count="4">
    <mergeCell ref="D10:G10"/>
    <mergeCell ref="F15:G15"/>
    <mergeCell ref="D4:G4"/>
    <mergeCell ref="F1:I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Fresia</dc:creator>
  <cp:lastModifiedBy>Lorenzo Fresia</cp:lastModifiedBy>
  <dcterms:created xsi:type="dcterms:W3CDTF">2026-03-06T01:36:05Z</dcterms:created>
  <dcterms:modified xsi:type="dcterms:W3CDTF">2026-03-06T03:04:11Z</dcterms:modified>
</cp:coreProperties>
</file>