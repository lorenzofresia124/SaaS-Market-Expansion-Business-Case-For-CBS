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en\Desktop\SaaS Market Expansion Business Case\"/>
    </mc:Choice>
  </mc:AlternateContent>
  <xr:revisionPtr revIDLastSave="0" documentId="13_ncr:1_{330EB14C-E552-489A-B50A-12AB4554FF46}" xr6:coauthVersionLast="47" xr6:coauthVersionMax="47" xr10:uidLastSave="{00000000-0000-0000-0000-000000000000}"/>
  <bookViews>
    <workbookView xWindow="22932" yWindow="-108" windowWidth="23256" windowHeight="12456" xr2:uid="{5DDC0710-F68F-46C0-B5D6-97C2BB626507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1" l="1"/>
  <c r="E6" i="1"/>
  <c r="H6" i="1" s="1"/>
  <c r="H7" i="1" l="1"/>
  <c r="I7" i="1" s="1"/>
  <c r="J7" i="1" s="1"/>
  <c r="I6" i="1"/>
  <c r="J6" i="1" s="1"/>
  <c r="H8" i="1" l="1"/>
  <c r="I8" i="1" s="1"/>
  <c r="J8" i="1" s="1"/>
  <c r="H9" i="1" l="1"/>
  <c r="I9" i="1" s="1"/>
  <c r="J9" i="1" s="1"/>
  <c r="H10" i="1" l="1"/>
  <c r="I10" i="1" s="1"/>
  <c r="J10" i="1" s="1"/>
</calcChain>
</file>

<file path=xl/sharedStrings.xml><?xml version="1.0" encoding="utf-8"?>
<sst xmlns="http://schemas.openxmlformats.org/spreadsheetml/2006/main" count="17" uniqueCount="17">
  <si>
    <t>Variable</t>
  </si>
  <si>
    <t>Value</t>
  </si>
  <si>
    <t>Initial Users</t>
  </si>
  <si>
    <t>Monthly Price</t>
  </si>
  <si>
    <t>Annual Growth Rate</t>
  </si>
  <si>
    <t>GROWTH ASSUMPTIONS</t>
  </si>
  <si>
    <t>USER &amp; REVENUE PROJECTION</t>
  </si>
  <si>
    <t>Year</t>
  </si>
  <si>
    <t>Users</t>
  </si>
  <si>
    <t>Monthly Revenue</t>
  </si>
  <si>
    <t>Annual Revenue</t>
  </si>
  <si>
    <t>Year 1</t>
  </si>
  <si>
    <t>Year 2</t>
  </si>
  <si>
    <t>Year 3</t>
  </si>
  <si>
    <t>Year 4</t>
  </si>
  <si>
    <t>Year 5</t>
  </si>
  <si>
    <t>Revenue Growth Projection - SaaS Expansion 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</si>
</sst>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[$$-409]* #,##0_ ;_-[$$-409]* \-#,##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9" fontId="0" fillId="0" borderId="1" xfId="2" applyFont="1" applyBorder="1"/>
    <xf numFmtId="0" fontId="2" fillId="0" borderId="1" xfId="0" applyFont="1" applyBorder="1"/>
    <xf numFmtId="164" fontId="0" fillId="0" borderId="1" xfId="0" applyNumberFormat="1" applyBorder="1"/>
    <xf numFmtId="164" fontId="0" fillId="0" borderId="1" xfId="1" applyNumberFormat="1" applyFont="1" applyBorder="1"/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5-Year</a:t>
            </a:r>
            <a:r>
              <a:rPr lang="en-GB" b="1" baseline="0"/>
              <a:t> Revenue Growth Projection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Sheet1!$G$6:$G$10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Sheet1!$J$6:$J$10</c:f>
              <c:numCache>
                <c:formatCode>_-[$$-409]* #,##0_ ;_-[$$-409]* \-#,##0\ ;_-[$$-409]* "-"??_ ;_-@_ </c:formatCode>
                <c:ptCount val="5"/>
                <c:pt idx="0">
                  <c:v>34440000</c:v>
                </c:pt>
                <c:pt idx="1">
                  <c:v>48216000</c:v>
                </c:pt>
                <c:pt idx="2">
                  <c:v>67502400</c:v>
                </c:pt>
                <c:pt idx="3">
                  <c:v>94503360</c:v>
                </c:pt>
                <c:pt idx="4">
                  <c:v>132304704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86-4106-BD8E-E8E13FFF8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9802176"/>
        <c:axId val="1839801760"/>
      </c:lineChart>
      <c:catAx>
        <c:axId val="183980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801760"/>
        <c:crosses val="autoZero"/>
        <c:auto val="1"/>
        <c:lblAlgn val="ctr"/>
        <c:lblOffset val="100"/>
        <c:noMultiLvlLbl val="0"/>
      </c:catAx>
      <c:valAx>
        <c:axId val="183980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802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579120</xdr:colOff>
      <xdr:row>10</xdr:row>
      <xdr:rowOff>179070</xdr:rowOff>
    </xdr:from>
    <xdr:to>
      <xdr:col>9</xdr:col>
      <xdr:colOff>327660</xdr:colOff>
      <xdr:row>25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5C8C91-3F90-4F34-8775-A088BC3964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1_Expansion%20Scenar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7">
          <cell r="E7">
            <v>35000</v>
          </cell>
          <cell r="F7">
            <v>82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C273C-FC3F-4557-8F57-704EC5F9391C}">
  <dimension ref="D1:L10"/>
  <sheetViews>
    <sheetView showGridLines="0" tabSelected="1" workbookViewId="0">
      <selection activeCell="M6" sqref="M6"/>
    </sheetView>
  </sheetViews>
  <sheetFormatPr defaultRowHeight="14.4" x14ac:dyDescent="0.3"/>
  <cols>
    <col min="4" max="4" width="17.5546875" customWidth="1"/>
    <col min="9" max="9" width="17.21875" customWidth="1"/>
    <col min="10" max="10" width="15.77734375" customWidth="1"/>
  </cols>
  <sheetData>
    <row r="1" spans="4:12" ht="21" x14ac:dyDescent="0.4">
      <c r="G1" s="7" t="s">
        <v>16</v>
      </c>
      <c r="H1" s="8"/>
      <c r="I1" s="8"/>
      <c r="J1" s="8"/>
      <c r="K1" s="8"/>
      <c r="L1" s="8"/>
    </row>
    <row r="4" spans="4:12" x14ac:dyDescent="0.3">
      <c r="D4" s="6" t="s">
        <v>5</v>
      </c>
      <c r="E4" s="6"/>
      <c r="G4" s="6" t="s">
        <v>6</v>
      </c>
      <c r="H4" s="6"/>
      <c r="I4" s="6"/>
      <c r="J4" s="6"/>
    </row>
    <row r="5" spans="4:12" x14ac:dyDescent="0.3">
      <c r="D5" s="3" t="s">
        <v>0</v>
      </c>
      <c r="E5" s="3" t="s">
        <v>1</v>
      </c>
      <c r="G5" s="3" t="s">
        <v>7</v>
      </c>
      <c r="H5" s="3" t="s">
        <v>8</v>
      </c>
      <c r="I5" s="3" t="s">
        <v>9</v>
      </c>
      <c r="J5" s="3" t="s">
        <v>10</v>
      </c>
    </row>
    <row r="6" spans="4:12" x14ac:dyDescent="0.3">
      <c r="D6" s="1" t="s">
        <v>2</v>
      </c>
      <c r="E6" s="1">
        <f>[1]Sheet1!$E$7</f>
        <v>35000</v>
      </c>
      <c r="G6" s="1" t="s">
        <v>11</v>
      </c>
      <c r="H6" s="1">
        <f>E6</f>
        <v>35000</v>
      </c>
      <c r="I6" s="5">
        <f>(H6*E7)</f>
        <v>2870000</v>
      </c>
      <c r="J6" s="5">
        <f>(I6*12)</f>
        <v>34440000</v>
      </c>
    </row>
    <row r="7" spans="4:12" x14ac:dyDescent="0.3">
      <c r="D7" s="1" t="s">
        <v>3</v>
      </c>
      <c r="E7" s="4">
        <f>[1]Sheet1!$F$7</f>
        <v>82</v>
      </c>
      <c r="G7" s="1" t="s">
        <v>12</v>
      </c>
      <c r="H7" s="1">
        <f>(H6*(1+E8))</f>
        <v>49000</v>
      </c>
      <c r="I7" s="5">
        <f>(H7*E7)</f>
        <v>4018000</v>
      </c>
      <c r="J7" s="5">
        <f>(I7*12)</f>
        <v>48216000</v>
      </c>
    </row>
    <row r="8" spans="4:12" x14ac:dyDescent="0.3">
      <c r="D8" s="1" t="s">
        <v>4</v>
      </c>
      <c r="E8" s="2">
        <v>0.4</v>
      </c>
      <c r="G8" s="1" t="s">
        <v>13</v>
      </c>
      <c r="H8" s="1">
        <f>(H7*(1+E8))</f>
        <v>68600</v>
      </c>
      <c r="I8" s="5">
        <f>(H8*E7)</f>
        <v>5625200</v>
      </c>
      <c r="J8" s="5">
        <f t="shared" ref="J8:J9" si="0">(I8*12)</f>
        <v>67502400</v>
      </c>
    </row>
    <row r="9" spans="4:12" x14ac:dyDescent="0.3">
      <c r="G9" s="1" t="s">
        <v>14</v>
      </c>
      <c r="H9" s="1">
        <f>(H8*(1+E8))</f>
        <v>96040</v>
      </c>
      <c r="I9" s="5">
        <f>(H9*E7)</f>
        <v>7875280</v>
      </c>
      <c r="J9" s="5">
        <f t="shared" si="0"/>
        <v>94503360</v>
      </c>
    </row>
    <row r="10" spans="4:12" x14ac:dyDescent="0.3">
      <c r="G10" s="1" t="s">
        <v>15</v>
      </c>
      <c r="H10" s="1">
        <f>(H9*(1+E8))</f>
        <v>134456</v>
      </c>
      <c r="I10" s="5">
        <f>(H10*E7)</f>
        <v>11025392</v>
      </c>
      <c r="J10" s="5">
        <f>(I10*12)</f>
        <v>132304704</v>
      </c>
    </row>
  </sheetData>
  <mergeCells count="3">
    <mergeCell ref="D4:E4"/>
    <mergeCell ref="G4:J4"/>
    <mergeCell ref="G1: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Fresia</dc:creator>
  <cp:lastModifiedBy>Lorenzo Fresia</cp:lastModifiedBy>
  <dcterms:created xsi:type="dcterms:W3CDTF">2026-03-06T02:14:07Z</dcterms:created>
  <dcterms:modified xsi:type="dcterms:W3CDTF">2026-03-06T04:46:30Z</dcterms:modified>
</cp:coreProperties>
</file>