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en\Desktop\SaaS Market Expansion Business Case\"/>
    </mc:Choice>
  </mc:AlternateContent>
  <xr:revisionPtr revIDLastSave="0" documentId="13_ncr:1_{68D82241-8C5F-4EE5-97EC-89AA8D51F278}" xr6:coauthVersionLast="47" xr6:coauthVersionMax="47" xr10:uidLastSave="{00000000-0000-0000-0000-000000000000}"/>
  <bookViews>
    <workbookView xWindow="22932" yWindow="-108" windowWidth="23256" windowHeight="12456" xr2:uid="{1D85511B-742D-4274-A795-FF4B96543317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13" i="1" l="1"/>
  <c r="E11" i="1" l="1"/>
  <c r="E12" i="1" s="1"/>
</calcChain>
</file>

<file path=xl/sharedStrings.xml><?xml version="1.0" encoding="utf-8"?>
<sst xmlns="http://schemas.openxmlformats.org/spreadsheetml/2006/main" count="20" uniqueCount="20">
  <si>
    <t>Investment Decision Analysis</t>
  </si>
  <si>
    <t>Total Expansion Investment</t>
  </si>
  <si>
    <t>Result</t>
  </si>
  <si>
    <t>Year 1 Revenue</t>
  </si>
  <si>
    <t>Year 3 Revenue</t>
  </si>
  <si>
    <t>Net Profit</t>
  </si>
  <si>
    <t>Decision Factor</t>
  </si>
  <si>
    <t>Assessment</t>
  </si>
  <si>
    <t>Market Opportunity</t>
  </si>
  <si>
    <t>Investment Risk</t>
  </si>
  <si>
    <t>Expansion Recommendation</t>
  </si>
  <si>
    <t>3-Year Total Revenue</t>
  </si>
  <si>
    <t>Strong</t>
  </si>
  <si>
    <t>Moderate</t>
  </si>
  <si>
    <t>Proceed</t>
  </si>
  <si>
    <t>Financial Indicators</t>
  </si>
  <si>
    <t>Payback Period (Months)</t>
  </si>
  <si>
    <t>EXPANSION FINANCIAL SUMMARY</t>
  </si>
  <si>
    <t>STRATEGIC RECOMMENDATION</t>
  </si>
  <si>
    <t>Return on Investment (ROI, multiple)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</si>
</sst>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3" borderId="1" xfId="0" applyFont="1" applyFill="1" applyBorder="1"/>
    <xf numFmtId="164" fontId="0" fillId="0" borderId="1" xfId="1" applyNumberFormat="1" applyFont="1" applyBorder="1"/>
    <xf numFmtId="0" fontId="0" fillId="0" borderId="2" xfId="0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2" fontId="0" fillId="4" borderId="1" xfId="0" applyNumberFormat="1" applyFill="1" applyBorder="1"/>
    <xf numFmtId="165" fontId="0" fillId="4" borderId="1" xfId="0" applyNumberFormat="1" applyFill="1" applyBorder="1"/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2_Market%20Expansion%20Investment%20Analysi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3_Revenue%20Growth%20Proj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2_Market Expansion Investment "/>
    </sheetNames>
    <sheetDataSet>
      <sheetData sheetId="0">
        <row r="15">
          <cell r="E15">
            <v>2950000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03_Revenue Growth Projection"/>
    </sheetNames>
    <sheetDataSet>
      <sheetData sheetId="0">
        <row r="6">
          <cell r="J6">
            <v>34440000</v>
          </cell>
        </row>
        <row r="7">
          <cell r="J7">
            <v>48216000</v>
          </cell>
        </row>
        <row r="8">
          <cell r="J8">
            <v>67502400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BCC5-E0F2-47ED-AD3B-E73116A4B165}">
  <dimension ref="D1:I13"/>
  <sheetViews>
    <sheetView showGridLines="0" tabSelected="1" workbookViewId="0">
      <selection activeCell="G14" sqref="G14"/>
    </sheetView>
  </sheetViews>
  <sheetFormatPr defaultRowHeight="14.4" x14ac:dyDescent="0.3"/>
  <cols>
    <col min="4" max="4" width="31.33203125" customWidth="1"/>
    <col min="5" max="5" width="14.5546875" customWidth="1"/>
    <col min="7" max="7" width="25" customWidth="1"/>
    <col min="8" max="8" width="13.109375" customWidth="1"/>
  </cols>
  <sheetData>
    <row r="1" spans="4:9" ht="21" x14ac:dyDescent="0.4">
      <c r="E1" s="13" t="s">
        <v>0</v>
      </c>
      <c r="F1" s="14"/>
      <c r="G1" s="14"/>
      <c r="H1" s="14"/>
      <c r="I1" s="14"/>
    </row>
    <row r="5" spans="4:9" x14ac:dyDescent="0.3">
      <c r="D5" s="12" t="s">
        <v>17</v>
      </c>
      <c r="E5" s="12"/>
      <c r="G5" s="12" t="s">
        <v>18</v>
      </c>
      <c r="H5" s="12"/>
    </row>
    <row r="6" spans="4:9" x14ac:dyDescent="0.3">
      <c r="D6" s="2" t="s">
        <v>15</v>
      </c>
      <c r="E6" s="9" t="s">
        <v>2</v>
      </c>
      <c r="G6" s="3" t="s">
        <v>6</v>
      </c>
      <c r="H6" s="3" t="s">
        <v>7</v>
      </c>
    </row>
    <row r="7" spans="4:9" x14ac:dyDescent="0.3">
      <c r="D7" s="1" t="s">
        <v>1</v>
      </c>
      <c r="E7" s="4">
        <f>[1]Sheet1!$E$15</f>
        <v>2950000</v>
      </c>
      <c r="G7" s="1" t="s">
        <v>8</v>
      </c>
      <c r="H7" s="7" t="s">
        <v>12</v>
      </c>
    </row>
    <row r="8" spans="4:9" x14ac:dyDescent="0.3">
      <c r="D8" s="1" t="s">
        <v>3</v>
      </c>
      <c r="E8" s="4">
        <f>[2]Sheet1!$J$6</f>
        <v>34440000</v>
      </c>
      <c r="G8" s="1" t="s">
        <v>9</v>
      </c>
      <c r="H8" s="7" t="s">
        <v>13</v>
      </c>
    </row>
    <row r="9" spans="4:9" x14ac:dyDescent="0.3">
      <c r="D9" s="1" t="s">
        <v>4</v>
      </c>
      <c r="E9" s="4">
        <f>[2]Sheet1!$J$8</f>
        <v>67502400</v>
      </c>
      <c r="G9" s="1" t="s">
        <v>10</v>
      </c>
      <c r="H9" s="8" t="s">
        <v>14</v>
      </c>
    </row>
    <row r="10" spans="4:9" x14ac:dyDescent="0.3">
      <c r="D10" s="5" t="s">
        <v>11</v>
      </c>
      <c r="E10" s="4">
        <f>SUM([2]Sheet1!$J$6:$J$8)</f>
        <v>150158400</v>
      </c>
    </row>
    <row r="11" spans="4:9" x14ac:dyDescent="0.3">
      <c r="D11" s="1" t="s">
        <v>5</v>
      </c>
      <c r="E11" s="6">
        <f>(E10-E7)</f>
        <v>147208400</v>
      </c>
    </row>
    <row r="12" spans="4:9" x14ac:dyDescent="0.3">
      <c r="D12" s="1" t="s">
        <v>19</v>
      </c>
      <c r="E12" s="11">
        <f>(E11/E7)</f>
        <v>49.901152542372884</v>
      </c>
    </row>
    <row r="13" spans="4:9" x14ac:dyDescent="0.3">
      <c r="D13" s="1" t="s">
        <v>16</v>
      </c>
      <c r="E13" s="10">
        <f>(E7/E8) *12</f>
        <v>1.0278745644599303</v>
      </c>
    </row>
  </sheetData>
  <mergeCells count="3">
    <mergeCell ref="D5:E5"/>
    <mergeCell ref="G5:H5"/>
    <mergeCell ref="E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Fresia</dc:creator>
  <cp:lastModifiedBy>Lorenzo Fresia</cp:lastModifiedBy>
  <dcterms:created xsi:type="dcterms:W3CDTF">2026-03-06T02:24:49Z</dcterms:created>
  <dcterms:modified xsi:type="dcterms:W3CDTF">2026-03-06T04:46:52Z</dcterms:modified>
</cp:coreProperties>
</file>